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<sst xmlns="http://schemas.openxmlformats.org/spreadsheetml/2006/main" count="93" uniqueCount="83">
  <si>
    <t>Casos de Teste — Amazon.com.br</t>
  </si>
  <si>
    <t>Sistema testado: https://www.amazon.com.br  |  Ambiente: Chrome, Windows 11, desktop  |  Usuário: visitante não autenticado.</t>
  </si>
  <si>
    <t>IMERSÃO  ·  DO ZERO À PRIMEIRA VAGA</t>
  </si>
  <si>
    <t>ID</t>
  </si>
  <si>
    <t>Título do caso de teste</t>
  </si>
  <si>
    <t>Pré-condição</t>
  </si>
  <si>
    <t>Passos para executar</t>
  </si>
  <si>
    <t>Dado de teste</t>
  </si>
  <si>
    <t>Resultado esperado</t>
  </si>
  <si>
    <t>Resultado obtido</t>
  </si>
  <si>
    <t>Status</t>
  </si>
  <si>
    <t>CT-01</t>
  </si>
  <si>
    <t>Buscar produto existente pelo nome</t>
  </si>
  <si>
    <t>Estar na página inicial do site, sem login</t>
  </si>
  <si>
    <t>1. Acessar amazon.com.br
2. Clicar na barra de busca
3. Digitar o termo
4. Pressionar Enter</t>
  </si>
  <si>
    <t>"fone de ouvido bluetooth"</t>
  </si>
  <si>
    <t>A página de resultados exibe produtos relacionados a fones de ouvido bluetooth</t>
  </si>
  <si>
    <t>Resultados exibidos são coerentes com o termo buscado</t>
  </si>
  <si>
    <t>Bug Report — modelo para preencher</t>
  </si>
  <si>
    <t>Passou</t>
  </si>
  <si>
    <t>COMO USAR: uma linha por bug encontrado. Severidade e Prioridade têm lista suspensa. REGRA DE OURO: qualquer pessoa deve conseguir reproduzir o bug lendo só os seus passos — seja específico. A linha de EXEMPLO deve ser apagada antes de entregar.</t>
  </si>
  <si>
    <t>CT-02</t>
  </si>
  <si>
    <t>Buscar termo sem resultados</t>
  </si>
  <si>
    <t>Estar na página inicial do site</t>
  </si>
  <si>
    <t>1. Acessar amazon.com.br
2. Digitar um termo sem correspondência
3. Pressionar Enter</t>
  </si>
  <si>
    <t>"xyzabc123produtoinexistente"</t>
  </si>
  <si>
    <t>O site exibe mensagem informando que nenhum resultado foi encontrado</t>
  </si>
  <si>
    <t>Mensagem de nenhum resultado exibida corretamente</t>
  </si>
  <si>
    <t>CT-03</t>
  </si>
  <si>
    <t>Executar busca com campo vazio</t>
  </si>
  <si>
    <t>1. Acessar amazon.com.br
2. Deixar a barra de busca vazia
3. Pressionar Enter</t>
  </si>
  <si>
    <t>(campo em branco)</t>
  </si>
  <si>
    <t>O site permanece na página ou exibe listagem geral, sem erro para o usuário</t>
  </si>
  <si>
    <t>Página exibe listagem geral sem mensagem de erro</t>
  </si>
  <si>
    <t>CT-04</t>
  </si>
  <si>
    <t>Título do bug</t>
  </si>
  <si>
    <t>Aplicar filtro de faixa de preço</t>
  </si>
  <si>
    <t>Severidade</t>
  </si>
  <si>
    <t>Ter executado a busca do CT-01 com resultados na tela</t>
  </si>
  <si>
    <t>1. Na coluna de filtros, localizar a faixa de preço
2. Selecionar a faixa até R$100
3. Aguardar a lista recarregar</t>
  </si>
  <si>
    <t>Prioridade</t>
  </si>
  <si>
    <t>Faixa: até R$ 100,00</t>
  </si>
  <si>
    <t>Ambiente</t>
  </si>
  <si>
    <t>Somente produtos com preço até R$100 permanecem na lista</t>
  </si>
  <si>
    <t>Passos para reproduzir</t>
  </si>
  <si>
    <t>Produtos acima de R$100 continuam aparecendo na lista</t>
  </si>
  <si>
    <t>Evidência</t>
  </si>
  <si>
    <t>Falhou</t>
  </si>
  <si>
    <t>CT-05</t>
  </si>
  <si>
    <t>BUG-00</t>
  </si>
  <si>
    <t>Ordenar resultados por menor preço</t>
  </si>
  <si>
    <t>1. Abrir o seletor de ordenação
2. Escolher a opção de menor preço
3. Observar a ordem da lista</t>
  </si>
  <si>
    <t>Ordenação: Preço: menor para maior</t>
  </si>
  <si>
    <t>Os produtos são exibidos em ordem crescente de preço</t>
  </si>
  <si>
    <t>Ordem crescente de preço aplicada corretamente</t>
  </si>
  <si>
    <t>EXEMPLO — apague esta linha</t>
  </si>
  <si>
    <t>CT-06</t>
  </si>
  <si>
    <t>Validar informações exibidas no card do produto</t>
  </si>
  <si>
    <t>Ter uma lista de resultados na tela</t>
  </si>
  <si>
    <t>1. Observar o primeiro card de resultado
2. Verificar nome, preço e avaliação</t>
  </si>
  <si>
    <t>Primeiro resultado da busca do CT-01</t>
  </si>
  <si>
    <t>O card exibe, no mínimo, nome e preço do produto de forma legível</t>
  </si>
  <si>
    <t>Nome, preço e avaliação exibidos corretamente</t>
  </si>
  <si>
    <t>RESUMO DA EXECUÇÃO</t>
  </si>
  <si>
    <t>Total de casos executados</t>
  </si>
  <si>
    <t>Média</t>
  </si>
  <si>
    <t>Alta</t>
  </si>
  <si>
    <t>Navegador, versão, SO, dispositivo</t>
  </si>
  <si>
    <t>1. Acessar o site
2. Fazer a ação X
3. Observar o comportamento Y</t>
  </si>
  <si>
    <t>O que deveria acontecer</t>
  </si>
  <si>
    <t>O que realmente aconteceu</t>
  </si>
  <si>
    <t>Print ou vídeo da tela</t>
  </si>
  <si>
    <t>Aberto</t>
  </si>
  <si>
    <t>BUG-01</t>
  </si>
  <si>
    <t>Casos aprovados (Passou)</t>
  </si>
  <si>
    <t>BUG-02</t>
  </si>
  <si>
    <t>Casos reprovados (Falhou)</t>
  </si>
  <si>
    <t>BUG-03</t>
  </si>
  <si>
    <t>Taxa de aprovação</t>
  </si>
  <si>
    <t>BUG-04</t>
  </si>
  <si>
    <t>BUG-05</t>
  </si>
  <si>
    <t>BUG-06</t>
  </si>
  <si>
    <t>BUG-07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</si>
</sst>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16294B"/>
      <name val="Arial"/>
    </font>
    <font>
      <b/>
      <sz val="10.0"/>
      <color rgb="FFFFFFFF"/>
      <name val="Arial"/>
    </font>
    <font>
      <b/>
      <sz val="10.0"/>
      <color rgb="FF7B3F98"/>
      <name val="Arial"/>
    </font>
    <font>
      <sz val="10.0"/>
      <color rgb="FF222222"/>
      <name val="Arial"/>
    </font>
    <font>
      <b/>
      <color rgb="FFFFFFFF"/>
      <name val="Arial"/>
    </font>
    <font>
      <sz val="11.0"/>
      <color theme="1"/>
      <name val="Calibri"/>
    </font>
    <font>
      <b/>
      <sz val="10.0"/>
      <color rgb="FF1E7A3C"/>
      <name val="Arial"/>
    </font>
    <font>
      <b/>
      <sz val="10.0"/>
      <color rgb="FFE23A6E"/>
      <name val="Arial"/>
    </font>
    <font>
      <i/>
      <color rgb="FF59647F"/>
      <name val="Arial"/>
    </font>
    <font>
      <b/>
      <sz val="10.0"/>
      <color rgb="FF16294B"/>
      <name val="Arial"/>
    </font>
    <font>
      <b/>
      <color rgb="FFE23A6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B3F98"/>
        <bgColor rgb="FF7B3F98"/>
      </patternFill>
    </fill>
    <fill>
      <patternFill patternType="solid">
        <fgColor rgb="FFF0F3F9"/>
        <bgColor rgb="FFF0F3F9"/>
      </patternFill>
    </fill>
    <fill>
      <patternFill patternType="solid">
        <fgColor rgb="FF16294B"/>
        <bgColor rgb="FF16294B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left style="thick">
        <color rgb="FF2B5BA8"/>
      </left>
      <top style="thin">
        <color rgb="FFD8DFEC"/>
      </top>
      <bottom style="thin">
        <color rgb="FFD8DFEC"/>
      </bottom>
    </border>
    <border>
      <top style="thin">
        <color rgb="FFD8DFEC"/>
      </top>
      <bottom style="thin">
        <color rgb="FFD8DFEC"/>
      </bottom>
    </border>
    <border>
      <left style="thin">
        <color rgb="FFD8DFEC"/>
      </left>
      <right style="thin">
        <color rgb="FFD8DFEC"/>
      </right>
      <top style="thin">
        <color rgb="FFD8DFEC"/>
      </top>
      <bottom style="thin">
        <color rgb="FFD8DFEC"/>
      </bottom>
    </border>
    <border>
      <left style="thick">
        <color rgb="FFE23A6E"/>
      </left>
      <top style="thin">
        <color rgb="FFD8DFEC"/>
      </top>
      <bottom style="thin">
        <color rgb="FFD8DFEC"/>
      </bottom>
    </border>
    <border>
      <right style="thin">
        <color rgb="FFD8DFEC"/>
      </right>
      <top style="thin">
        <color rgb="FFD8DFEC"/>
      </top>
      <bottom style="thin">
        <color rgb="FFD8DFEC"/>
      </bottom>
    </border>
    <border>
      <left style="thin">
        <color rgb="FFD8DFEC"/>
      </left>
      <top style="thin">
        <color rgb="FFD8DFEC"/>
      </top>
      <bottom style="thin">
        <color rgb="FFD8DFEC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left" readingOrder="0" shrinkToFit="0" vertical="center" wrapText="1"/>
    </xf>
    <xf borderId="4" fillId="0" fontId="2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1" fillId="4" fontId="1" numFmtId="0" xfId="0" applyBorder="1" applyFill="1" applyFont="1"/>
    <xf borderId="5" fillId="5" fontId="5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horizontal="left" shrinkToFit="0" vertical="top" wrapText="1"/>
    </xf>
    <xf borderId="1" fillId="2" fontId="7" numFmtId="0" xfId="0" applyBorder="1" applyFill="1" applyFont="1"/>
    <xf borderId="0" fillId="0" fontId="8" numFmtId="0" xfId="0" applyAlignment="1" applyFont="1">
      <alignment vertical="bottom"/>
    </xf>
    <xf borderId="5" fillId="5" fontId="9" numFmtId="0" xfId="0" applyAlignment="1" applyBorder="1" applyFill="1" applyFont="1">
      <alignment horizontal="center" shrinkToFit="0" vertical="center" wrapText="0"/>
    </xf>
    <xf borderId="5" fillId="3" fontId="5" numFmtId="0" xfId="0" applyAlignment="1" applyBorder="1" applyFill="1" applyFont="1">
      <alignment horizontal="center" shrinkToFit="0" vertical="center" wrapText="0"/>
    </xf>
    <xf borderId="6" fillId="3" fontId="3" numFmtId="0" xfId="0" applyAlignment="1" applyBorder="1" applyFill="1" applyFont="1">
      <alignment shrinkToFit="0" wrapText="1"/>
    </xf>
    <xf borderId="5" fillId="3" fontId="6" numFmtId="0" xfId="0" applyAlignment="1" applyBorder="1" applyFill="1" applyFont="1">
      <alignment horizontal="left" shrinkToFit="0" vertical="top" wrapText="1"/>
    </xf>
    <xf borderId="7" fillId="0" fontId="2" numFmtId="0" xfId="0" applyBorder="1" applyFont="1"/>
    <xf borderId="5" fillId="3" fontId="9" numFmtId="0" xfId="0" applyAlignment="1" applyBorder="1" applyFill="1" applyFont="1">
      <alignment horizontal="center" shrinkToFit="0" vertical="center" wrapText="0"/>
    </xf>
    <xf borderId="5" fillId="4" fontId="7" numFmtId="0" xfId="0" applyAlignment="1" applyBorder="1" applyFill="1" applyFont="1">
      <alignment horizontal="center" shrinkToFit="0" wrapText="1"/>
    </xf>
    <xf borderId="5" fillId="3" fontId="10" numFmtId="0" xfId="0" applyAlignment="1" applyBorder="1" applyFill="1" applyFont="1">
      <alignment horizontal="center" shrinkToFit="0" vertical="center" wrapText="0"/>
    </xf>
    <xf borderId="5" fillId="3" fontId="11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horizontal="left" shrinkToFit="0" vertical="center" wrapText="0"/>
    </xf>
    <xf borderId="8" fillId="3" fontId="12" numFmtId="0" xfId="0" applyAlignment="1" applyBorder="1" applyFill="1" applyFont="1">
      <alignment horizontal="left" shrinkToFit="0" vertical="center" wrapText="0"/>
    </xf>
    <xf borderId="5" fillId="5" fontId="13" numFmtId="0" xfId="0" applyAlignment="1" applyBorder="1" applyFill="1" applyFont="1">
      <alignment horizontal="center"/>
    </xf>
    <xf borderId="5" fillId="5" fontId="8" numFmtId="0" xfId="0" applyAlignment="1" applyBorder="1" applyFill="1" applyFont="1">
      <alignment vertical="top"/>
    </xf>
    <xf borderId="5" fillId="0" fontId="5" numFmtId="0" xfId="0" applyAlignment="1" applyBorder="1" applyFont="1">
      <alignment horizontal="center" shrinkToFit="0" vertical="center" wrapText="0"/>
    </xf>
    <xf borderId="5" fillId="3" fontId="13" numFmtId="0" xfId="0" applyAlignment="1" applyBorder="1" applyFill="1" applyFont="1">
      <alignment horizontal="center"/>
    </xf>
    <xf borderId="5" fillId="3" fontId="8" numFmtId="0" xfId="0" applyAlignment="1" applyBorder="1" applyFill="1" applyFont="1">
      <alignment vertical="top"/>
    </xf>
    <xf borderId="5" fillId="0" fontId="5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26.0"/>
    <col customWidth="1" min="4" max="4" width="44.0"/>
    <col customWidth="1" min="5" max="5" width="20.0"/>
    <col customWidth="1" min="6" max="6" width="38.0"/>
    <col customWidth="1" min="7" max="7" width="32.0"/>
    <col customWidth="1" min="8" max="8" width="20.86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</row>
    <row r="2" ht="30.0" customHeight="1">
      <c r="A2" s="3" t="s">
        <v>1</v>
      </c>
      <c r="B2" s="4"/>
      <c r="C2" s="4"/>
      <c r="D2" s="4"/>
      <c r="E2" s="4"/>
      <c r="F2" s="4"/>
      <c r="G2" s="4"/>
      <c r="H2" s="4"/>
    </row>
    <row r="3" ht="31.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ht="69.75" customHeight="1">
      <c r="A4" s="7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11" t="s">
        <v>19</v>
      </c>
    </row>
    <row r="5" ht="69.75" customHeight="1">
      <c r="A5" s="12" t="s">
        <v>21</v>
      </c>
      <c r="B5" s="14" t="s">
        <v>22</v>
      </c>
      <c r="C5" s="14" t="s">
        <v>23</v>
      </c>
      <c r="D5" s="14" t="s">
        <v>24</v>
      </c>
      <c r="E5" s="14" t="s">
        <v>25</v>
      </c>
      <c r="F5" s="14" t="s">
        <v>26</v>
      </c>
      <c r="G5" s="14" t="s">
        <v>27</v>
      </c>
      <c r="H5" s="16" t="s">
        <v>19</v>
      </c>
    </row>
    <row r="6" ht="69.75" customHeight="1">
      <c r="A6" s="7" t="s">
        <v>28</v>
      </c>
      <c r="B6" s="8" t="s">
        <v>29</v>
      </c>
      <c r="C6" s="8" t="s">
        <v>23</v>
      </c>
      <c r="D6" s="8" t="s">
        <v>30</v>
      </c>
      <c r="E6" s="8" t="s">
        <v>31</v>
      </c>
      <c r="F6" s="8" t="s">
        <v>32</v>
      </c>
      <c r="G6" s="8" t="s">
        <v>33</v>
      </c>
      <c r="H6" s="11" t="s">
        <v>19</v>
      </c>
    </row>
    <row r="7" ht="69.75" customHeight="1">
      <c r="A7" s="12" t="s">
        <v>34</v>
      </c>
      <c r="B7" s="14" t="s">
        <v>36</v>
      </c>
      <c r="C7" s="14" t="s">
        <v>38</v>
      </c>
      <c r="D7" s="14" t="s">
        <v>39</v>
      </c>
      <c r="E7" s="14" t="s">
        <v>41</v>
      </c>
      <c r="F7" s="14" t="s">
        <v>43</v>
      </c>
      <c r="G7" s="14" t="s">
        <v>45</v>
      </c>
      <c r="H7" s="18" t="s">
        <v>47</v>
      </c>
    </row>
    <row r="8" ht="69.75" customHeight="1">
      <c r="A8" s="7" t="s">
        <v>48</v>
      </c>
      <c r="B8" s="8" t="s">
        <v>50</v>
      </c>
      <c r="C8" s="8" t="s">
        <v>38</v>
      </c>
      <c r="D8" s="8" t="s">
        <v>51</v>
      </c>
      <c r="E8" s="8" t="s">
        <v>52</v>
      </c>
      <c r="F8" s="8" t="s">
        <v>53</v>
      </c>
      <c r="G8" s="8" t="s">
        <v>54</v>
      </c>
      <c r="H8" s="11" t="s">
        <v>19</v>
      </c>
    </row>
    <row r="9" ht="69.75" customHeight="1">
      <c r="A9" s="12" t="s">
        <v>56</v>
      </c>
      <c r="B9" s="14" t="s">
        <v>57</v>
      </c>
      <c r="C9" s="14" t="s">
        <v>58</v>
      </c>
      <c r="D9" s="14" t="s">
        <v>59</v>
      </c>
      <c r="E9" s="14" t="s">
        <v>60</v>
      </c>
      <c r="F9" s="14" t="s">
        <v>61</v>
      </c>
      <c r="G9" s="14" t="s">
        <v>62</v>
      </c>
      <c r="H9" s="16" t="s">
        <v>19</v>
      </c>
    </row>
    <row r="11">
      <c r="A11" s="20" t="s">
        <v>63</v>
      </c>
      <c r="B11" s="2"/>
      <c r="C11" s="2"/>
      <c r="D11" s="2"/>
      <c r="E11" s="2"/>
      <c r="F11" s="2"/>
      <c r="G11" s="2"/>
      <c r="H11" s="2"/>
    </row>
    <row r="12" ht="19.5" customHeight="1">
      <c r="A12" s="21" t="s">
        <v>64</v>
      </c>
      <c r="B12" s="4"/>
      <c r="C12" s="24">
        <f>COUNTA(A4:A9)</f>
        <v>6</v>
      </c>
    </row>
    <row r="13" ht="19.5" customHeight="1">
      <c r="A13" s="21" t="s">
        <v>74</v>
      </c>
      <c r="B13" s="4"/>
      <c r="C13" s="24">
        <f>COUNTIF(H4:H9,"Passou")</f>
        <v>5</v>
      </c>
    </row>
    <row r="14" ht="19.5" customHeight="1">
      <c r="A14" s="21" t="s">
        <v>76</v>
      </c>
      <c r="B14" s="4"/>
      <c r="C14" s="24">
        <f>COUNTIF(H4:H9,"Falhou")</f>
        <v>1</v>
      </c>
    </row>
    <row r="15" ht="19.5" customHeight="1">
      <c r="A15" s="21" t="s">
        <v>78</v>
      </c>
      <c r="B15" s="4"/>
      <c r="C15" s="27">
        <f>IFERROR(COUNTIF(H4:H9,"Passou")/COUNTA(A4:A9),0)</f>
        <v>0.8333333333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7">
    <mergeCell ref="A1:H1"/>
    <mergeCell ref="A2:H2"/>
    <mergeCell ref="A11:H11"/>
    <mergeCell ref="A12:B12"/>
    <mergeCell ref="A13:B13"/>
    <mergeCell ref="A14:B14"/>
    <mergeCell ref="A15:B15"/>
  </mergeCells>
  <dataValidations>
    <dataValidation type="list" allowBlank="1" sqref="H4:H9">
      <formula1>"Passou,Falhou,Bloqueado,Não executado"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2.29"/>
    <col customWidth="1" min="4" max="4" width="11.57"/>
    <col customWidth="1" min="5" max="5" width="14.43"/>
    <col customWidth="1" min="6" max="6" width="14.57"/>
  </cols>
  <sheetData>
    <row r="1">
      <c r="A1" s="6" t="s">
        <v>2</v>
      </c>
      <c r="B1" s="2"/>
      <c r="C1" s="2"/>
      <c r="D1" s="2"/>
      <c r="E1" s="2"/>
      <c r="F1" s="2"/>
      <c r="G1" s="2"/>
      <c r="H1" s="2"/>
      <c r="I1" s="2"/>
      <c r="J1" s="2"/>
    </row>
    <row r="2">
      <c r="A2" s="9" t="s">
        <v>18</v>
      </c>
      <c r="B2" s="2"/>
      <c r="C2" s="2"/>
      <c r="D2" s="2"/>
      <c r="E2" s="2"/>
      <c r="F2" s="2"/>
      <c r="G2" s="2"/>
      <c r="H2" s="2"/>
      <c r="I2" s="2"/>
      <c r="J2" s="2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</row>
    <row r="4">
      <c r="A4" s="13" t="s">
        <v>20</v>
      </c>
      <c r="B4" s="4"/>
      <c r="C4" s="4"/>
      <c r="D4" s="4"/>
      <c r="E4" s="4"/>
      <c r="F4" s="4"/>
      <c r="G4" s="4"/>
      <c r="H4" s="4"/>
      <c r="I4" s="4"/>
      <c r="J4" s="15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</row>
    <row r="6">
      <c r="A6" s="17" t="s">
        <v>3</v>
      </c>
      <c r="B6" s="17" t="s">
        <v>35</v>
      </c>
      <c r="C6" s="17" t="s">
        <v>37</v>
      </c>
      <c r="D6" s="17" t="s">
        <v>40</v>
      </c>
      <c r="E6" s="17" t="s">
        <v>42</v>
      </c>
      <c r="F6" s="17" t="s">
        <v>44</v>
      </c>
      <c r="G6" s="17" t="s">
        <v>8</v>
      </c>
      <c r="H6" s="17" t="s">
        <v>9</v>
      </c>
      <c r="I6" s="17" t="s">
        <v>46</v>
      </c>
      <c r="J6" s="17" t="s">
        <v>10</v>
      </c>
    </row>
    <row r="7">
      <c r="A7" s="19" t="s">
        <v>49</v>
      </c>
      <c r="B7" s="19" t="s">
        <v>55</v>
      </c>
      <c r="C7" s="19" t="s">
        <v>65</v>
      </c>
      <c r="D7" s="19" t="s">
        <v>66</v>
      </c>
      <c r="E7" s="19" t="s">
        <v>67</v>
      </c>
      <c r="F7" s="19" t="s">
        <v>68</v>
      </c>
      <c r="G7" s="19" t="s">
        <v>69</v>
      </c>
      <c r="H7" s="19" t="s">
        <v>70</v>
      </c>
      <c r="I7" s="19" t="s">
        <v>71</v>
      </c>
      <c r="J7" s="19" t="s">
        <v>72</v>
      </c>
    </row>
    <row r="8">
      <c r="A8" s="22" t="s">
        <v>73</v>
      </c>
      <c r="B8" s="23"/>
      <c r="C8" s="23"/>
      <c r="D8" s="23"/>
      <c r="E8" s="23"/>
      <c r="F8" s="23"/>
      <c r="G8" s="23"/>
      <c r="H8" s="23"/>
      <c r="I8" s="23"/>
      <c r="J8" s="23"/>
    </row>
    <row r="9">
      <c r="A9" s="25" t="s">
        <v>75</v>
      </c>
      <c r="B9" s="26"/>
      <c r="C9" s="26"/>
      <c r="D9" s="26"/>
      <c r="E9" s="26"/>
      <c r="F9" s="26"/>
      <c r="G9" s="26"/>
      <c r="H9" s="26"/>
      <c r="I9" s="26"/>
      <c r="J9" s="26"/>
    </row>
    <row r="10">
      <c r="A10" s="22" t="s">
        <v>77</v>
      </c>
      <c r="B10" s="23"/>
      <c r="C10" s="23"/>
      <c r="D10" s="23"/>
      <c r="E10" s="23"/>
      <c r="F10" s="23"/>
      <c r="G10" s="23"/>
      <c r="H10" s="23"/>
      <c r="I10" s="23"/>
      <c r="J10" s="23"/>
    </row>
    <row r="11">
      <c r="A11" s="25" t="s">
        <v>79</v>
      </c>
      <c r="B11" s="26"/>
      <c r="C11" s="26"/>
      <c r="D11" s="26"/>
      <c r="E11" s="26"/>
      <c r="F11" s="26"/>
      <c r="G11" s="26"/>
      <c r="H11" s="26"/>
      <c r="I11" s="26"/>
      <c r="J11" s="26"/>
    </row>
    <row r="12">
      <c r="A12" s="22" t="s">
        <v>80</v>
      </c>
      <c r="B12" s="23"/>
      <c r="C12" s="23"/>
      <c r="D12" s="23"/>
      <c r="E12" s="23"/>
      <c r="F12" s="23"/>
      <c r="G12" s="23"/>
      <c r="H12" s="23"/>
      <c r="I12" s="23"/>
      <c r="J12" s="23"/>
    </row>
    <row r="13">
      <c r="A13" s="25" t="s">
        <v>81</v>
      </c>
      <c r="B13" s="26"/>
      <c r="C13" s="26"/>
      <c r="D13" s="26"/>
      <c r="E13" s="26"/>
      <c r="F13" s="26"/>
      <c r="G13" s="26"/>
      <c r="H13" s="26"/>
      <c r="I13" s="26"/>
      <c r="J13" s="26"/>
    </row>
    <row r="14">
      <c r="A14" s="22" t="s">
        <v>82</v>
      </c>
      <c r="B14" s="23"/>
      <c r="C14" s="23"/>
      <c r="D14" s="23"/>
      <c r="E14" s="23"/>
      <c r="F14" s="23"/>
      <c r="G14" s="23"/>
      <c r="H14" s="23"/>
      <c r="I14" s="23"/>
      <c r="J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4:J4"/>
  </mergeCells>
  <dataValidations>
    <dataValidation type="list" allowBlank="1" sqref="C7:D14">
      <formula1>"Baixa,Média,Alta,Crítica"</formula1>
    </dataValidation>
    <dataValidation type="list" allowBlank="1" sqref="J7:J14">
      <formula1>"Aberto,Em análise,Corrigido,Reaberto,Não é bug"</formula1>
    </dataValidation>
  </dataValidations>
  <drawing r:id="rId1"/>
</worksheet>
</file>